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df17808f6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" sheetId="1" r:id="R658302d8e0174c6d"/>
    <x:sheet xmlns:r="http://schemas.openxmlformats.org/officeDocument/2006/relationships" name="ayarlar" sheetId="2" r:id="Rf0069e865f75495e"/>
    <x:sheet xmlns:r="http://schemas.openxmlformats.org/officeDocument/2006/relationships" name="özet" sheetId="3" r:id="Ra254b25744e1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%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24465E"/>
      <x:name val="Carlito"/>
    </x:font>
    <x:font>
      <x:sz val="11"/>
      <x:color rgb="FF7A4E00"/>
      <x:name val="Carlito"/>
    </x:font>
    <x:font>
      <x:i/>
      <x:sz val="11"/>
      <x:color rgb="FF24465E"/>
      <x:name val="Carlito"/>
    </x:font>
    <x:font>
      <x:b/>
      <x:sz val="11"/>
      <x:color rgb="FF1F4E78"/>
      <x:name val="Carlito"/>
    </x:font>
    <x:font>
      <x:sz val="11"/>
      <x:color rgb="FF334155"/>
      <x:name val="Carlito"/>
    </x:font>
    <x:font>
      <x:i/>
      <x:sz val="11"/>
      <x:color rgb="FF64748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E6B800"/>
      </x:left>
      <x:right style="thin">
        <x:color rgb="FFE6B800"/>
      </x:right>
      <x:top style="thin">
        <x:color rgb="FFE6B800"/>
      </x:top>
    </x:border>
    <x:border>
      <x:left style="thin">
        <x:color rgb="FFE6B800"/>
      </x:left>
      <x:right style="thin">
        <x:color rgb="FFE6B800"/>
      </x:right>
      <x:bottom style="thin">
        <x:color rgb="FFE6B800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9" xfId="0" applyNumberFormat="1" applyFont="1" applyFill="1" applyBorder="1" applyAlignment="1">
      <x:alignment horizontal="right"/>
    </x:xf>
    <x:xf numFmtId="0" fontId="6" fillId="6" borderId="10" xfId="0" applyNumberFormat="1" applyFont="1" applyFill="1" applyBorder="1" applyAlignment="1">
      <x:alignment horizontal="right"/>
    </x:xf>
    <x:xf numFmtId="0" fontId="6" fillId="6" borderId="11" xfId="0" applyNumberFormat="1" applyFont="1" applyFill="1" applyBorder="1" applyAlignment="1">
      <x:alignment horizontal="right"/>
    </x:xf>
    <x:xf numFmtId="0" fontId="6" fillId="6" borderId="9" xfId="0" applyNumberFormat="1" applyFont="1" applyFill="1" applyBorder="1" applyAlignment="1">
      <x:alignment horizontal="right" vertical="center"/>
    </x:xf>
    <x:xf numFmtId="0" fontId="6" fillId="6" borderId="10" xfId="0" applyNumberFormat="1" applyFont="1" applyFill="1" applyBorder="1" applyAlignment="1">
      <x:alignment horizontal="right" vertical="center"/>
    </x:xf>
    <x:xf numFmtId="0" fontId="6" fillId="6" borderId="11" xfId="0" applyNumberFormat="1" applyFont="1" applyFill="1" applyBorder="1" applyAlignment="1">
      <x:alignment horizontal="right" vertical="center"/>
    </x:xf>
    <x:xf numFmtId="201" fontId="6" fillId="6" borderId="9" xfId="0" applyNumberFormat="1" applyFont="1" applyFill="1" applyBorder="1" applyAlignment="1">
      <x:alignment horizontal="right" vertical="center"/>
    </x:xf>
    <x:xf numFmtId="201" fontId="6" fillId="6" borderId="10" xfId="0" applyNumberFormat="1" applyFont="1" applyFill="1" applyBorder="1" applyAlignment="1">
      <x:alignment horizontal="right" vertical="center"/>
    </x:xf>
    <x:xf numFmtId="202" fontId="6" fillId="6" borderId="1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8505fef7b4de6" /><Relationship Type="http://schemas.openxmlformats.org/officeDocument/2006/relationships/theme" Target="/xl/theme/theme1.xml" Id="Rc60bef4572754c45" /><Relationship Type="http://schemas.openxmlformats.org/officeDocument/2006/relationships/sharedStrings" Target="/xl/sharedStrings.xml" Id="Rf03736b27d8549ca" /><Relationship Type="http://schemas.openxmlformats.org/officeDocument/2006/relationships/worksheet" Target="/xl/worksheets/sheet1.xml" Id="R658302d8e0174c6d" /><Relationship Type="http://schemas.openxmlformats.org/officeDocument/2006/relationships/worksheet" Target="/xl/worksheets/sheet2.xml" Id="Rf0069e865f75495e" /><Relationship Type="http://schemas.openxmlformats.org/officeDocument/2006/relationships/worksheet" Target="/xl/worksheets/sheet3.xml" Id="Ra254b25744e14101" /></Relationships>
</file>

<file path=xl/tables/table1.xml><?xml version="1.0" encoding="utf-8"?>
<x:table xmlns:x="http://schemas.openxmlformats.org/spreadsheetml/2006/main" id="1" name="PersonelAdresleri" displayName="PersonelAdresleri" ref="A1:E53" headerRowCount="1" totalsRowCount="0" totalsRowShown="0">
  <x:autoFilter ref="A1:E53"/>
  <x:tableColumns count="5">
    <x:tableColumn id="1" name="sicil numarası"/>
    <x:tableColumn id="2" name="ad soyad"/>
    <x:tableColumn id="3" name="adres"/>
    <x:tableColumn id="4" name="birim"/>
    <x:tableColumn id="5" name="kullandığı serv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9d47bb4a7e46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0.559999465942383" hidden="0" customWidth="1"/>
    <x:col min="3" max="3" width="47.779998779296875" hidden="0" customWidth="1"/>
    <x:col min="4" max="4" width="34.439998626708984" hidden="0" customWidth="1"/>
    <x:col min="5" max="5" width="26.110000610351562" hidden="0" customWidth="1"/>
  </x:cols>
  <x:sheetData>
    <x:row r="1" ht="25.5" customHeight="1">
      <x:c r="A1" s="12" t="str">
        <x:v>sicil numarası</x:v>
      </x:c>
      <x:c r="B1" s="13" t="str">
        <x:v>ad soyad</x:v>
      </x:c>
      <x:c r="C1" s="13" t="str">
        <x:v>adres</x:v>
      </x:c>
      <x:c r="D1" s="13" t="str">
        <x:v>birim</x:v>
      </x:c>
      <x:c r="E1" s="14" t="str">
        <x:v>kullandığı servis</x:v>
      </x:c>
    </x:row>
    <x:row r="2" ht="31.5" customHeight="1">
      <x:c r="A2" s="25" t="str">
        <x:v>943</x:v>
      </x:c>
      <x:c r="B2" s="22" t="str">
        <x:v>AKİFYILMAZ</x:v>
      </x:c>
      <x:c r="C2" s="22" t="str">
        <x:v>FATİH CADDESİ KEÇİÖREN/ANKARA</x:v>
      </x:c>
      <x:c r="D2" s="22" t="str">
        <x:v>ETÜD VE PROJE ŞUBESİ (PROJELER DAİRESİ BAŞKANLIĞI)</x:v>
      </x:c>
      <x:c r="E2" s="22" t="str">
        <x:v>KEÇİÖREN SERVİSİ</x:v>
      </x:c>
    </x:row>
    <x:row r="3" ht="31.5" customHeight="1">
      <x:c r="A3" s="26" t="str">
        <x:v>445</x:v>
      </x:c>
      <x:c r="B3" s="23" t="str">
        <x:v>Avni Turan ÇAKIR</x:v>
      </x:c>
      <x:c r="C3" s="23" t="str">
        <x:v>Alacaatlı Mah. 4834. Cadde İncek TOKİ 2. Etap Konutları Tip2-11 Blok No:11 Çankaya</x:v>
      </x:c>
      <x:c r="D3" s="23" t="str">
        <x:v>Teknik Denetim ve Mevzuat Dairesi Başkanlığı</x:v>
      </x:c>
      <x:c r="E3" s="23" t="str">
        <x:v>İncek-Tulumtaş (06 C 3129)</x:v>
      </x:c>
    </x:row>
    <x:row r="4" ht="31.5" customHeight="1">
      <x:c r="A4" s="26" t="str">
        <x:v>1633</x:v>
      </x:c>
      <x:c r="B4" s="23" t="str">
        <x:v>Ayşe Reyyan LALE</x:v>
      </x:c>
      <x:c r="C4" s="23" t="str">
        <x:v>Bağlıca Mahallesi, Eski Bağlar Caddesi 1300. Sokak 5/5</x:v>
      </x:c>
      <x:c r="D4" s="23" t="str">
        <x:v>Toplu Konut Projeleri ve Araştırma Dairesi Başkanlığı / Alt Yapı ve Çevre Şube Müdürlüğü</x:v>
      </x:c>
      <x:c r="E4" s="23" t="str">
        <x:v>Bağlıca</x:v>
      </x:c>
    </x:row>
    <x:row r="5" ht="31.5" customHeight="1">
      <x:c r="A5" s="26" t="str">
        <x:v>820</x:v>
      </x:c>
      <x:c r="B5" s="23" t="str">
        <x:v>BANU KOYUNCU</x:v>
      </x:c>
      <x:c r="C5" s="23" t="str">
        <x:v>Şehit Mehmet Baydar Sok. No:9/27 Maltepe/ANKARA</x:v>
      </x:c>
      <x:c r="D5" s="23" t="str">
        <x:v>SOSYAL HŞZMETLER DAİ. BŞK.</x:v>
      </x:c>
      <x:c r="E5" s="23" t="str">
        <x:v>EMEK bAHÇELİ</x:v>
      </x:c>
    </x:row>
    <x:row r="6" ht="31.5" customHeight="1">
      <x:c r="A6" s="26" t="str">
        <x:v>619</x:v>
      </x:c>
      <x:c r="B6" s="23" t="str">
        <x:v>Berk BAYRAKDAR</x:v>
      </x:c>
      <x:c r="C6" s="23" t="str">
        <x:v>BEYTEPE MAH. 1816 SOKAK NO:28 Çankaya Ankara</x:v>
      </x:c>
      <x:c r="D6" s="23" t="str">
        <x:v>UYGULAMA DAİRESİ BAŞKANLIĞI</x:v>
      </x:c>
      <x:c r="E6" s="23" t="str">
        <x:v>BEYTEPE</x:v>
      </x:c>
    </x:row>
    <x:row r="7" ht="31.5" customHeight="1">
      <x:c r="A7" s="26" t="str">
        <x:v>1176</x:v>
      </x:c>
      <x:c r="B7" s="23" t="str">
        <x:v>Bora ULUOCAK</x:v>
      </x:c>
      <x:c r="C7" s="23" t="str">
        <x:v>Tunahan Mahallesi 185.Sokak 17673 Ada No:4/18 Eryaman-Etimesgut-Ankara</x:v>
      </x:c>
      <x:c r="D7" s="23" t="str">
        <x:v>Uygulama Dairesi Bşk. 1 Nolu Uygulama Şube Müd.</x:v>
      </x:c>
      <x:c r="E7" s="23" t="str">
        <x:v>Şu an servis kullanmıyorum Eylül ayı itibariyle başlayacağım.</x:v>
      </x:c>
    </x:row>
    <x:row r="8" ht="31.5" customHeight="1">
      <x:c r="A8" s="26" t="str">
        <x:v>X0306</x:v>
      </x:c>
      <x:c r="B8" s="23" t="str">
        <x:v>Büşra Meliha SAYIN ÇİÇEK</x:v>
      </x:c>
      <x:c r="C8" s="23" t="str">
        <x:v>Sancaktepe Mahallesi 1611. Sokak</x:v>
      </x:c>
      <x:c r="D8" s="23" t="str">
        <x:v>TEKNİK DENETİM VE MEVZUAT DAİRESİ BAŞKANLIĞI</x:v>
      </x:c>
      <x:c r="E8" s="23" t="str">
        <x:v>38 YÜKSELTEPE ESERTEPE OVACIK</x:v>
      </x:c>
    </x:row>
    <x:row r="9" ht="31.5" customHeight="1">
      <x:c r="A9" s="26" t="str">
        <x:v>278</x:v>
      </x:c>
      <x:c r="B9" s="23" t="str">
        <x:v>B. Gül Deliktaş</x:v>
      </x:c>
      <x:c r="C9" s="23" t="str">
        <x:v>Ahlatlıbel mah 1901 sokak 42</x:v>
      </x:c>
      <x:c r="D9" s="23" t="str">
        <x:v>İmar Dai. Bşk.</x:v>
      </x:c>
      <x:c r="E9" s="23" t="str">
        <x:v>Taşpınar / incek</x:v>
      </x:c>
    </x:row>
    <x:row r="10" ht="31.5" customHeight="1">
      <x:c r="A10" s="26" t="str">
        <x:v>1171</x:v>
      </x:c>
      <x:c r="B10" s="23" t="str">
        <x:v>Emin Yağtu</x:v>
      </x:c>
      <x:c r="C10" s="23" t="str">
        <x:v>Pınarbaşı Mahallesi operatör sokak</x:v>
      </x:c>
      <x:c r="D10" s="23" t="str">
        <x:v>2 nolu Uygulama</x:v>
      </x:c>
      <x:c r="E10" s="23" t="str">
        <x:v>Sincan</x:v>
      </x:c>
    </x:row>
    <x:row r="11" ht="31.5" customHeight="1">
      <x:c r="A11" s="26" t="str">
        <x:v>1433</x:v>
      </x:c>
      <x:c r="B11" s="23" t="str">
        <x:v>Erkan ATAMAN</x:v>
      </x:c>
      <x:c r="C11" s="23" t="str">
        <x:v>İnönü Mahallesi 1723. Sokak No:5 Yenimahalle ANKARA</x:v>
      </x:c>
      <x:c r="D11" s="23" t="str">
        <x:v>İmar ve Planlama Dairesi Başkanlığı</x:v>
      </x:c>
      <x:c r="E11" s="23" t="str">
        <x:v>Batıkent-Serhat</x:v>
      </x:c>
    </x:row>
    <x:row r="12" ht="31.5" customHeight="1">
      <x:c r="A12" s="26" t="str">
        <x:v>827</x:v>
      </x:c>
      <x:c r="B12" s="23" t="str">
        <x:v>Ersin ışık</x:v>
      </x:c>
      <x:c r="C12" s="23" t="str">
        <x:v>Mevlana mahallesi 432. Cadde sincan</x:v>
      </x:c>
      <x:c r="D12" s="23" t="str">
        <x:v>2 nolu uygulama dairesi</x:v>
      </x:c>
      <x:c r="E12" s="23" t="str">
        <x:v>Yenikent-törekent</x:v>
      </x:c>
    </x:row>
    <x:row r="13" ht="31.5" customHeight="1">
      <x:c r="A13" s="26" t="str">
        <x:v>1221</x:v>
      </x:c>
      <x:c r="B13" s="23" t="str">
        <x:v>Faruk ÖZER</x:v>
      </x:c>
      <x:c r="C13" s="23" t="str">
        <x:v>Yeni Bağlıca Mahallesi Karatuz Caddesi No: 27 Etimesgut</x:v>
      </x:c>
      <x:c r="D13" s="23" t="str">
        <x:v>Stratejik Yönetim Şube Müdürlüğü</x:v>
      </x:c>
      <x:c r="E13" s="23" t="str">
        <x:v>Bağlıca Servisi</x:v>
      </x:c>
    </x:row>
    <x:row r="14" ht="31.5" customHeight="1">
      <x:c r="A14" s="26" t="str">
        <x:v>1639</x:v>
      </x:c>
      <x:c r="B14" s="23" t="str">
        <x:v>FATİH İNANICI</x:v>
      </x:c>
      <x:c r="C14" s="23" t="str">
        <x:v>3164 SOKAK NO:3 YAŞAMKENT / ÇANKAYA</x:v>
      </x:c>
      <x:c r="D14" s="23" t="str">
        <x:v>2 No.lu Uyg. Dai. Bşk 9 No.lu Uyg. Şb. Md.</x:v>
      </x:c>
      <x:c r="E14" s="23" t="str">
        <x:v>YAŞAMKENT</x:v>
      </x:c>
    </x:row>
    <x:row r="15" ht="31.5" customHeight="1">
      <x:c r="A15" s="26" t="str">
        <x:v>1475</x:v>
      </x:c>
      <x:c r="B15" s="23" t="str">
        <x:v>Fatma ÇIPLAK TÜRKER</x:v>
      </x:c>
      <x:c r="C15" s="23" t="str">
        <x:v>Bağlıca Mahallesi 1264 Sokak No:9</x:v>
      </x:c>
      <x:c r="D15" s="23" t="str">
        <x:v>Kentsel Yenileme Dairesi Başkanlığı</x:v>
      </x:c>
      <x:c r="E15" s="23" t="str">
        <x:v>06 C 1295</x:v>
      </x:c>
    </x:row>
    <x:row r="16" ht="31.5" customHeight="1">
      <x:c r="A16" s="26" t="str">
        <x:v>1643</x:v>
      </x:c>
      <x:c r="B16" s="23" t="str">
        <x:v>Görkem YARAŞ</x:v>
      </x:c>
      <x:c r="C16" s="23" t="str">
        <x:v>Alsancak Mahallesi 2154. Sokak Mervem Evleri Sitesi Etimesgut</x:v>
      </x:c>
      <x:c r="D16" s="23" t="str">
        <x:v>Uygulama Daire Başkanlığı</x:v>
      </x:c>
      <x:c r="E16" s="23" t="str">
        <x:v>33 Etimesgut 06 C 4222</x:v>
      </x:c>
    </x:row>
    <x:row r="17" ht="31.5" customHeight="1">
      <x:c r="A17" s="26" t="str">
        <x:v>442</x:v>
      </x:c>
      <x:c r="B17" s="23" t="str">
        <x:v>Gülçin Atiye ARISOY</x:v>
      </x:c>
      <x:c r="C17" s="23" t="str">
        <x:v>1306. Sokak Botanik Loft Sitesi Bağlıca</x:v>
      </x:c>
      <x:c r="D17" s="23" t="str">
        <x:v>Hukuk Müşavirliği</x:v>
      </x:c>
      <x:c r="E17" s="23" t="str">
        <x:v>1295 Plaka</x:v>
      </x:c>
    </x:row>
    <x:row r="18" ht="31.5" customHeight="1">
      <x:c r="A18" s="26" t="str">
        <x:v>973</x:v>
      </x:c>
      <x:c r="B18" s="23" t="str">
        <x:v>Hasan YILMAZ</x:v>
      </x:c>
      <x:c r="C18" s="23" t="str">
        <x:v>İncek mahallesi 3648 cadde T2-9 No :14 İncek vadi konutları Gölbaşı Ankara</x:v>
      </x:c>
      <x:c r="D18" s="23" t="str">
        <x:v>2 Nolu Uygulama Dairesi Başkanlığı</x:v>
      </x:c>
      <x:c r="E18" s="23" t="str">
        <x:v>Tulumtaş/İncek 06 C 3129</x:v>
      </x:c>
    </x:row>
    <x:row r="19" ht="31.5" customHeight="1">
      <x:c r="A19" s="26" t="str">
        <x:v>1336</x:v>
      </x:c>
      <x:c r="B19" s="23" t="str">
        <x:v>Hatice YAVUZ</x:v>
      </x:c>
      <x:c r="C19" s="23" t="str">
        <x:v>Suvari mah. 1689. Sok. No:42/7 Etimesgut</x:v>
      </x:c>
      <x:c r="D19" s="23" t="str">
        <x:v>Altyapı Çevre ve Şube Müdürülüğü</x:v>
      </x:c>
      <x:c r="E19" s="23" t="str">
        <x:v>Etimesgut</x:v>
      </x:c>
    </x:row>
    <x:row r="20" ht="31.5" customHeight="1">
      <x:c r="A20" s="26" t="str">
        <x:v>674</x:v>
      </x:c>
      <x:c r="B20" s="23" t="str">
        <x:v>HÜLYA DULKADİROĞLU</x:v>
      </x:c>
      <x:c r="C20" s="23" t="str">
        <x:v>1066. CADDE. 26/10 ÖVEÇLER</x:v>
      </x:c>
      <x:c r="D20" s="23" t="str">
        <x:v>EMLAK DAİRESİ BAŞKANLIĞI</x:v>
      </x:c>
      <x:c r="E20" s="23" t="str">
        <x:v>ÖVEÇLER</x:v>
      </x:c>
    </x:row>
    <x:row r="21" ht="31.5" customHeight="1">
      <x:c r="A21" s="26" t="str">
        <x:v>1438</x:v>
      </x:c>
      <x:c r="B21" s="23" t="str">
        <x:v>İbrahim AYHAN</x:v>
      </x:c>
      <x:c r="C21" s="23" t="str">
        <x:v>Durali Alıç Mahallesi 961. Sokak No:2 Cumhuriyet Sitesi</x:v>
      </x:c>
      <x:c r="D21" s="23" t="str">
        <x:v>Uygulama Dairesi başkanlığı</x:v>
      </x:c>
      <x:c r="E21" s="23" t="str">
        <x:v>Mamak</x:v>
      </x:c>
    </x:row>
    <x:row r="22" ht="31.5" customHeight="1">
      <x:c r="A22" s="26" t="str">
        <x:v>1356</x:v>
      </x:c>
      <x:c r="B22" s="23" t="str">
        <x:v>İbrahim Burak Kaya</x:v>
      </x:c>
      <x:c r="C22" s="23" t="str">
        <x:v>Yukarı Öveçler Mah. 1288 Sok. 9/26</x:v>
      </x:c>
      <x:c r="D22" s="23" t="str">
        <x:v>Uygulama Dairesi Başkanlığı</x:v>
      </x:c>
      <x:c r="E22" s="23" t="str">
        <x:v>Aşağı Ayrancı , Balgat</x:v>
      </x:c>
    </x:row>
    <x:row r="23" ht="31.5" customHeight="1">
      <x:c r="A23" s="26" t="str">
        <x:v>1457</x:v>
      </x:c>
      <x:c r="B23" s="23" t="str">
        <x:v>İbrahim ÖZUĞUR</x:v>
      </x:c>
      <x:c r="C23" s="23" t="str">
        <x:v>Yaşamkent mahallesi 3263 caddesi Ayarslan sitesi No:1 B Blok Daire 24</x:v>
      </x:c>
      <x:c r="D23" s="23" t="str">
        <x:v>Emlak Dairesi Başkanlığı</x:v>
      </x:c>
      <x:c r="E23" s="23" t="str">
        <x:v>Yaşamkent</x:v>
      </x:c>
    </x:row>
    <x:row r="24" ht="31.5" customHeight="1">
      <x:c r="A24" s="26" t="str">
        <x:v>701</x:v>
      </x:c>
      <x:c r="B24" s="23" t="str">
        <x:v>İLKER TOMAÇ</x:v>
      </x:c>
      <x:c r="C24" s="23" t="str">
        <x:v>GÖLBAŞI TOKİ KONUTLARI</x:v>
      </x:c>
      <x:c r="D24" s="23" t="str">
        <x:v>EMLAK DAİ. BŞK.</x:v>
      </x:c>
      <x:c r="E24" s="23" t="str">
        <x:v>GÖLBAŞI/TOKİ</x:v>
      </x:c>
    </x:row>
    <x:row r="25" ht="31.5" customHeight="1">
      <x:c r="A25" s="26" t="str">
        <x:v>1396</x:v>
      </x:c>
      <x:c r="B25" s="23" t="str">
        <x:v>İsa AVCI</x:v>
      </x:c>
      <x:c r="C25" s="23" t="str">
        <x:v>Karacaören Mahallesi Karacaören TOKİ Konutları Altındağ</x:v>
      </x:c>
      <x:c r="D25" s="23" t="str">
        <x:v>Personel ve Eğitim Dairesi Başkanlığı</x:v>
      </x:c>
      <x:c r="E25" s="23" t="str">
        <x:v>Pursaklar</x:v>
      </x:c>
    </x:row>
    <x:row r="26" ht="31.5" customHeight="1">
      <x:c r="A26" s="26" t="str">
        <x:v>1072</x:v>
      </x:c>
      <x:c r="B26" s="23" t="str">
        <x:v>Kaan ÇAĞLAYAN</x:v>
      </x:c>
      <x:c r="C26" s="23" t="str">
        <x:v>Kardelen Mahallesi 2069.Sokak Sugüzeli Sitesi A Blok No:39 Batıkent Yenimahalle Ankara</x:v>
      </x:c>
      <x:c r="D26" s="23" t="str">
        <x:v>İMİD</x:v>
      </x:c>
      <x:c r="E26" s="23" t="str">
        <x:v>Kardelen-Batıkent</x:v>
      </x:c>
    </x:row>
    <x:row r="27" ht="31.5" customHeight="1">
      <x:c r="A27" s="26" t="str">
        <x:v>1426</x:v>
      </x:c>
      <x:c r="B27" s="23" t="str">
        <x:v>Kahraman AKAY</x:v>
      </x:c>
      <x:c r="C27" s="23" t="str">
        <x:v>Barıştepe mahallesi demirdağ caddesi No:56/Yenimahalle</x:v>
      </x:c>
      <x:c r="D27" s="23" t="str">
        <x:v>5 Nolu Uygulama</x:v>
      </x:c>
      <x:c r="E27" s="23" t="str">
        <x:v>Pamuklar</x:v>
      </x:c>
    </x:row>
    <x:row r="28" ht="31.5" customHeight="1">
      <x:c r="A28" s="26" t="str">
        <x:v>17</x:v>
      </x:c>
      <x:c r="B28" s="23" t="str">
        <x:v>K.Vildan TATLI</x:v>
      </x:c>
      <x:c r="C28" s="23" t="str">
        <x:v>Yücel Caddesi 4/5 BAĞLICA</x:v>
      </x:c>
      <x:c r="D28" s="23" t="str">
        <x:v>İ.M.İ.Dairesi Bşk.</x:v>
      </x:c>
      <x:c r="E28" s="23" t="str">
        <x:v>BAĞLICA</x:v>
      </x:c>
    </x:row>
    <x:row r="29" ht="31.5" customHeight="1">
      <x:c r="A29" s="26" t="str">
        <x:v>1671</x:v>
      </x:c>
      <x:c r="B29" s="23" t="str">
        <x:v>LARA BARBAROS</x:v>
      </x:c>
      <x:c r="C29" s="23" t="str">
        <x:v>Kanuni Sultan Süleyman Bulvarı 5387 Cadde 175. Sokak No:52/F BENEVRE BEYTEPE RESİDENCE Beytepe Mah./Çankaya/Ankara</x:v>
      </x:c>
      <x:c r="D29" s="23" t="str">
        <x:v>Arsa Alım Şube Müdürlüğü</x:v>
      </x:c>
      <x:c r="E29" s="23" t="str">
        <x:v>06 C 3129</x:v>
      </x:c>
    </x:row>
    <x:row r="30" ht="31.5" customHeight="1">
      <x:c r="A30" s="26" t="str">
        <x:v>1403</x:v>
      </x:c>
      <x:c r="B30" s="23" t="str">
        <x:v>MERVE KANSIZ</x:v>
      </x:c>
      <x:c r="C30" s="23" t="str">
        <x:v>Eymir mahallesi Yedigöller caddesi Ayışığı sitesi C2-34 blok daire 6</x:v>
      </x:c>
      <x:c r="D30" s="23" t="str">
        <x:v>UYGULAMA DAİRESİ BAŞKANLIĞI</x:v>
      </x:c>
      <x:c r="E30" s="23" t="str">
        <x:v>GÖLBAŞI SERVİSİ</x:v>
      </x:c>
    </x:row>
    <x:row r="31" ht="31.5" customHeight="1">
      <x:c r="A31" s="26" t="str">
        <x:v>1316</x:v>
      </x:c>
      <x:c r="B31" s="23" t="str">
        <x:v>Mustafa Ferhat Erdem</x:v>
      </x:c>
      <x:c r="C31" s="23" t="str">
        <x:v>Cumhuriyet Mahallesi 5609. Cadde Zirveden Batı Sitesi B Blok Daire:9</x:v>
      </x:c>
      <x:c r="D31" s="23" t="str">
        <x:v>Projeler Dairesi Zemin Araştırma Şubesi</x:v>
      </x:c>
      <x:c r="E31" s="23" t="str">
        <x:v>”sabah:06c4144 Akşam:06c0336 Kaşmir Servisi”</x:v>
      </x:c>
    </x:row>
    <x:row r="32" ht="31.5" customHeight="1">
      <x:c r="A32" s="26" t="str">
        <x:v>1135</x:v>
      </x:c>
      <x:c r="B32" s="23" t="str">
        <x:v>MUSTAFA POLAT</x:v>
      </x:c>
      <x:c r="C32" s="23" t="str">
        <x:v>AYDINLIKEVLER MAHALLESİ EMNİYET SOKAK 15/7</x:v>
      </x:c>
      <x:c r="D32" s="23" t="str">
        <x:v>HUKUK MÜŞAVİRLİĞİ</x:v>
      </x:c>
      <x:c r="E32" s="23" t="str">
        <x:v>GÜNEŞEVLER HASKÖY AYDINLIKEVLER</x:v>
      </x:c>
    </x:row>
    <x:row r="33" ht="31.5" customHeight="1">
      <x:c r="A33" s="26" t="str">
        <x:v>394</x:v>
      </x:c>
      <x:c r="B33" s="23" t="str">
        <x:v>Oğuzhan GEBEŞ</x:v>
      </x:c>
      <x:c r="C33" s="23" t="str">
        <x:v>Lizbon Caddesi 117/11 Ovecler Çankaya / Ankara</x:v>
      </x:c>
      <x:c r="D33" s="23" t="str">
        <x:v>Mevzuat ve Belgelendirme ŞUBE Midirlugii</x:v>
      </x:c>
      <x:c r="E33" s="23" t="str">
        <x:v>Ovecler SERVİSİ</x:v>
      </x:c>
    </x:row>
    <x:row r="34" ht="31.5" customHeight="1">
      <x:c r="A34" s="26" t="str">
        <x:v>208</x:v>
      </x:c>
      <x:c r="B34" s="23" t="str">
        <x:v>Orhan MERCAN</x:v>
      </x:c>
      <x:c r="C34" s="23" t="str">
        <x:v>Göksu Mahallesi Erzurum Kongresi Caddesi Metrokent Sitesi Eryaman ANKARA</x:v>
      </x:c>
      <x:c r="D34" s="23" t="str">
        <x:v>Emlak Dairesi Başkanlığı</x:v>
      </x:c>
      <x:c r="E34" s="23" t="str">
        <x:v>06 C 4927</x:v>
      </x:c>
    </x:row>
    <x:row r="35" ht="31.5" customHeight="1">
      <x:c r="A35" s="26" t="str">
        <x:v>x</x:v>
      </x:c>
      <x:c r="B35" s="23" t="str">
        <x:v>Özhan özen</x:v>
      </x:c>
      <x:c r="C35" s="23" t="str">
        <x:v>Kardelen mahallesi 2100 sokak duygu cenk sitesi 1.blok daire no : 8 Yenimahalle ANKARA</x:v>
      </x:c>
      <x:c r="D35" s="23" t="str">
        <x:v>Emlak Yönetim Şerefiye Birimi</x:v>
      </x:c>
      <x:c r="E35" s="23" t="str">
        <x:v>Çakırlar</x:v>
      </x:c>
    </x:row>
    <x:row r="36" ht="31.5" customHeight="1">
      <x:c r="A36" s="26" t="str">
        <x:v>1412</x:v>
      </x:c>
      <x:c r="B36" s="23" t="str">
        <x:v>Ramazan EKİNCİ</x:v>
      </x:c>
      <x:c r="C36" s="23" t="str">
        <x:v>Sancak Mahallesi 549 sokak no:26 Çankaya</x:v>
      </x:c>
      <x:c r="D36" s="23" t="str">
        <x:v>Kamulaştırma Şube</x:v>
      </x:c>
      <x:c r="E36" s="23" t="str">
        <x:v>Oran-Birlik-Kırkonaklar</x:v>
      </x:c>
    </x:row>
    <x:row r="37" ht="31.5" customHeight="1">
      <x:c r="A37" s="26" t="str">
        <x:v>X0171</x:v>
      </x:c>
      <x:c r="B37" s="23" t="str">
        <x:v>Recep Yılmaz</x:v>
      </x:c>
      <x:c r="C37" s="23" t="str">
        <x:v>Ankara Gölbaşı Eymir Toki konutları</x:v>
      </x:c>
      <x:c r="D37" s="23" t="str">
        <x:v>S.H.D</x:v>
      </x:c>
      <x:c r="E37" s="23" t="str">
        <x:v>GÖLBAŞI</x:v>
      </x:c>
    </x:row>
    <x:row r="38" ht="31.5" customHeight="1">
      <x:c r="A38" s="26" t="str">
        <x:v>1658</x:v>
      </x:c>
      <x:c r="B38" s="23" t="str">
        <x:v>Sadi CEYLAN</x:v>
      </x:c>
      <x:c r="C38" s="23" t="str">
        <x:v>Tulumtaş Mah. 2401. Cadde Karma Villaları No:36 Tulumtaş</x:v>
      </x:c>
      <x:c r="D38" s="23" t="str">
        <x:v>Konut Kredileri / Geri Ödemeler</x:v>
      </x:c>
      <x:c r="E38" s="23" t="str">
        <x:v>İncek</x:v>
      </x:c>
    </x:row>
    <x:row r="39" ht="31.5" customHeight="1">
      <x:c r="A39" s="26" t="str">
        <x:v>1525</x:v>
      </x:c>
      <x:c r="B39" s="23" t="str">
        <x:v>SALİHA İNANIR</x:v>
      </x:c>
      <x:c r="C39" s="23" t="str">
        <x:v>Bağlıca Mah. 1198. Sk. No:5</x:v>
      </x:c>
      <x:c r="D39" s="23" t="str">
        <x:v>ETÜT VE PROJELER</x:v>
      </x:c>
      <x:c r="E39" s="23" t="str">
        <x:v>BAĞLICA</x:v>
      </x:c>
    </x:row>
    <x:row r="40" ht="31.5" customHeight="1">
      <x:c r="A40" s="26" t="str">
        <x:v>1357</x:v>
      </x:c>
      <x:c r="B40" s="23" t="str">
        <x:v>Seda ESENDEMİR</x:v>
      </x:c>
      <x:c r="C40" s="23" t="str">
        <x:v>Akın caddesi Mohaç Sokak Günal Apartmanı 23/3 Yenimahalle</x:v>
      </x:c>
      <x:c r="D40" s="23" t="str">
        <x:v>Finansman Dairesi Başkanlığı (Site Yönetimleri Şube Müdürlüğü)</x:v>
      </x:c>
      <x:c r="E40" s="23" t="str">
        <x:v>Yenimahalle (3919)</x:v>
      </x:c>
    </x:row>
    <x:row r="41" ht="31.5" customHeight="1">
      <x:c r="A41" s="26" t="str">
        <x:v>602</x:v>
      </x:c>
      <x:c r="B41" s="23" t="str">
        <x:v>SERKAN PEKCAN</x:v>
      </x:c>
      <x:c r="C41" s="23" t="str">
        <x:v>Cumhuriyet Mahallesi 5419. Cadde Astim Metrolife Sitesi B-42 Yenimahalle Ankara</x:v>
      </x:c>
      <x:c r="D41" s="23" t="str">
        <x:v>İmar ve Planlama Dairesi Başkanlığı</x:v>
      </x:c>
      <x:c r="E41" s="23" t="str">
        <x:v>Eryaman</x:v>
      </x:c>
    </x:row>
    <x:row r="42" ht="31.5" customHeight="1">
      <x:c r="A42" s="26" t="str">
        <x:v>666</x:v>
      </x:c>
      <x:c r="B42" s="23" t="str">
        <x:v>SEVİM AYAN</x:v>
      </x:c>
      <x:c r="C42" s="23" t="str">
        <x:v>GÜZİN SOKAK NO:33 KAVACIK SUBAYEVLERİ</x:v>
      </x:c>
      <x:c r="D42" s="23" t="str">
        <x:v>STRATEJİ GELİŞTİRME DAİRESİ BŞK</x:v>
      </x:c>
      <x:c r="E42" s="23" t="str">
        <x:v>KUZEY ANKARA</x:v>
      </x:c>
    </x:row>
    <x:row r="43" ht="31.5" customHeight="1">
      <x:c r="A43" s="26" t="str">
        <x:v>801</x:v>
      </x:c>
      <x:c r="B43" s="23" t="str">
        <x:v>Sevim DÜĞER SAVAŞ</x:v>
      </x:c>
      <x:c r="C43" s="23" t="str">
        <x:v>Ayvalı Mahallesi 177.sokak 11/10</x:v>
      </x:c>
      <x:c r="D43" s="23" t="str">
        <x:v>Uygulama Dairesi Başkanlığı</x:v>
      </x:c>
      <x:c r="E43" s="23" t="str">
        <x:v>Şentepe/Ayvalı</x:v>
      </x:c>
    </x:row>
    <x:row r="44" ht="31.5" customHeight="1">
      <x:c r="A44" s="26" t="str">
        <x:v>507</x:v>
      </x:c>
      <x:c r="B44" s="23" t="str">
        <x:v>Sezer karakaş</x:v>
      </x:c>
      <x:c r="C44" s="23" t="str">
        <x:v>Eymir mahallesi Köyceğiz caddesi güven sitesi CK3 blok no:9 Gölbaşı Ankara</x:v>
      </x:c>
      <x:c r="D44" s="23" t="str">
        <x:v>2 Nolu Uygulama Dairesi Başkanlığı</x:v>
      </x:c>
      <x:c r="E44" s="23" t="str">
        <x:v>Gölbaşı servisi</x:v>
      </x:c>
    </x:row>
    <x:row r="45" ht="31.5" customHeight="1">
      <x:c r="A45" s="26" t="str">
        <x:v>746</x:v>
      </x:c>
      <x:c r="B45" s="23" t="str">
        <x:v>Songül TOPLU CEYLAN</x:v>
      </x:c>
      <x:c r="C45" s="23" t="str">
        <x:v>Tulumtaş Mah. 2401. Cadde Karma Villaları No:36 Tulumtaş</x:v>
      </x:c>
      <x:c r="D45" s="23" t="str">
        <x:v>Konut Kredileri / Geri Ödemeler</x:v>
      </x:c>
      <x:c r="E45" s="23" t="str">
        <x:v>İncek</x:v>
      </x:c>
    </x:row>
    <x:row r="46" ht="31.5" customHeight="1">
      <x:c r="A46" s="26" t="str">
        <x:v>1653</x:v>
      </x:c>
      <x:c r="B46" s="23" t="str">
        <x:v>Şemsettin çelik</x:v>
      </x:c>
      <x:c r="C46" s="23" t="str">
        <x:v>İncek mahallesi kaya sokak bina no:15</x:v>
      </x:c>
      <x:c r="D46" s="23" t="str">
        <x:v>1 No'lu Uygulama Şube Müdürlüğü</x:v>
      </x:c>
      <x:c r="E46" s="23" t="str">
        <x:v>İnek Tulumtaş(06 c 3129)</x:v>
      </x:c>
    </x:row>
    <x:row r="47" ht="31.5" customHeight="1">
      <x:c r="A47" s="26" t="str">
        <x:v>1459</x:v>
      </x:c>
      <x:c r="B47" s="23" t="str">
        <x:v>Şeyda Betül AYTAŞ</x:v>
      </x:c>
      <x:c r="C47" s="23" t="str">
        <x:v>Murat Caddesi No 5 Doga Park Sitesi Yeni Baglica Etimesgut Ankara</x:v>
      </x:c>
      <x:c r="D47" s="23" t="str">
        <x:v>imar ve Planlama DAİRESİ Planilama ve Tasarm Subesi</x:v>
      </x:c>
      <x:c r="E47" s="23" t="str">
        <x:v>BAGLICA</x:v>
      </x:c>
    </x:row>
    <x:row r="48" ht="31.5" customHeight="1">
      <x:c r="A48" s="26" t="str">
        <x:v>661</x:v>
      </x:c>
      <x:c r="B48" s="23" t="str">
        <x:v>Tuğçe ÇEVİK</x:v>
      </x:c>
      <x:c r="C48" s="23" t="str">
        <x:v>3251.Cadde Besa Nova Sitesi Yaşamkent Mahallesi /Çankaya</x:v>
      </x:c>
      <x:c r="D48" s="23" t="str">
        <x:v>Personel ve Eğitim Dairesi Başkanlığı</x:v>
      </x:c>
      <x:c r="E48" s="23" t="str">
        <x:v>Yaşamkent</x:v>
      </x:c>
    </x:row>
    <x:row r="49" ht="31.5" customHeight="1">
      <x:c r="A49" s="26" t="str">
        <x:v>1366</x:v>
      </x:c>
      <x:c r="B49" s="23" t="str">
        <x:v>Ulaş EMİNOĞLU</x:v>
      </x:c>
      <x:c r="C49" s="23" t="str">
        <x:v>Birlik Mahallesi 482.Cadde Evren Konakları Sitesi</x:v>
      </x:c>
      <x:c r="D49" s="23" t="str">
        <x:v>Finansman Daire Başkanlığı</x:v>
      </x:c>
      <x:c r="E49" s="23" t="str">
        <x:v>Kırkkonaklar-Birlik-Or-an</x:v>
      </x:c>
    </x:row>
    <x:row r="50" ht="31.5" customHeight="1">
      <x:c r="A50" s="26" t="str">
        <x:v>501</x:v>
      </x:c>
      <x:c r="B50" s="23" t="str">
        <x:v>Ülkü P. ERDURMUŞ</x:v>
      </x:c>
      <x:c r="C50" s="23" t="str">
        <x:v>1585 Sokak Yeşil Vadi Apartmanı No:10/3 Çiğdem-Çankaya/Ankara</x:v>
      </x:c>
      <x:c r="D50" s="23" t="str">
        <x:v>Başkanlık</x:v>
      </x:c>
      <x:c r="E50" s="23" t="str">
        <x:v>Çiğdem-Çukurambar</x:v>
      </x:c>
    </x:row>
    <x:row r="51" ht="31.5" customHeight="1">
      <x:c r="A51" s="26" t="str">
        <x:v>1464</x:v>
      </x:c>
      <x:c r="B51" s="23" t="str">
        <x:v>YAHYA ÇELİK</x:v>
      </x:c>
      <x:c r="C51" s="23" t="str">
        <x:v>Zirve Caddesi 22B Deniz Sitesi B Blok Daire 28 Ahimesut/Etimesgut/Ankara</x:v>
      </x:c>
      <x:c r="D51" s="23" t="str">
        <x:v>Finansman Daire Başkanlığı – Pazarlama ve Satış Birimi</x:v>
      </x:c>
      <x:c r="E51" s="23" t="str">
        <x:v>Elvankent Banka Blokları Servisi</x:v>
      </x:c>
    </x:row>
    <x:row r="52" ht="31.5" customHeight="1">
      <x:c r="A52" s="26" t="str">
        <x:v>1287</x:v>
      </x:c>
      <x:c r="B52" s="23" t="str">
        <x:v>Yaser ATEŞ</x:v>
      </x:c>
      <x:c r="C52" s="23" t="str">
        <x:v>349 Cadde Royal City Sitesi Bina No:3B Daire:52 Devlet Mahallesi Etimesgut / ANKARA</x:v>
      </x:c>
      <x:c r="D52" s="23" t="str">
        <x:v>Etüt Proje</x:v>
      </x:c>
      <x:c r="E52" s="23" t="str">
        <x:v>Törekent Servisi</x:v>
      </x:c>
    </x:row>
    <x:row r="53" ht="31.5" customHeight="1">
      <x:c r="A53" s="27" t="str">
        <x:v>336</x:v>
      </x:c>
      <x:c r="B53" s="24" t="str">
        <x:v>ZÜBEYDE HÜLYA TOPALOĞLU</x:v>
      </x:c>
      <x:c r="C53" s="24" t="str">
        <x:v>Kırım Caddesi Şenyuva Blokları M2/16 EMEK</x:v>
      </x:c>
      <x:c r="D53" s="24" t="str">
        <x:v>UYGULAMA DAİRESİ</x:v>
      </x:c>
      <x:c r="E53" s="24" t="str">
        <x:v>Bahçeli/Maltepe</x:v>
      </x:c>
    </x:row>
  </x:sheetData>
  <x:pageMargins left="0.7" right="0.7" top="0.75" bottom="0.75" header="0.3" footer="0.3"/>
  <x:tableParts count="1">
    <x:tablePart xmlns:r="http://schemas.openxmlformats.org/officeDocument/2006/relationships" r:id="R2c9d47bb4a7e46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8.88999938964844" hidden="0" customWidth="1"/>
  </x:cols>
  <x:sheetData>
    <x:row r="1" ht="24" customHeight="1">
      <x:c r="A1" s="29" t="str">
        <x:v>alan</x:v>
      </x:c>
      <x:c r="B1" s="29" t="str">
        <x:v>değer</x:v>
      </x:c>
    </x:row>
    <x:row r="2" ht="30" customHeight="1">
      <x:c r="A2" s="32" t="str">
        <x:v>varış adresi</x:v>
      </x:c>
      <x:c r="B2" s="39" t="str">
        <x:v>Bilkent, Üniversiteler Mahallesi, Çankaya, Ankara</x:v>
      </x:c>
    </x:row>
    <x:row r="3" ht="30" customHeight="1">
      <x:c r="A3" s="32" t="str">
        <x:v>varış saati</x:v>
      </x:c>
      <x:c r="B3" s="40" t="str">
        <x:v>08:30:00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19999313354492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</x:cols>
  <x:sheetData>
    <x:row r="1" ht="33" customHeight="1">
      <x:c r="A1" s="42" t="str">
        <x:v>Servis Adresleri — Geocoder Doğrulanmış Örnek</x:v>
      </x:c>
      <x:c r="B1" s="42"/>
      <x:c r="C1" s="42"/>
      <x:c r="D1" s="42"/>
      <x:c r="E1" s="42"/>
    </x:row>
    <x:row r="2" ht="30" customHeight="1">
      <x:c r="A2" s="46" t="str">
        <x:v>Yalnızca yerel Nominatim servisinde Ankara koordinatı bulunan personel adresleri tutulmuştur.</x:v>
      </x:c>
      <x:c r="B2" s="46"/>
      <x:c r="C2" s="46"/>
      <x:c r="D2" s="46"/>
      <x:c r="E2" s="46"/>
    </x:row>
    <x:row r="4" ht="25.5" customHeight="1">
      <x:c r="A4" s="32" t="str">
        <x:v>Kaynak kayıt sayısı</x:v>
      </x:c>
      <x:c r="B4" s="58" t="n">
        <x:v>466</x:v>
      </x:c>
    </x:row>
    <x:row r="5" ht="25.5" customHeight="1">
      <x:c r="A5" s="32" t="str">
        <x:v>Dosyada kalan kayıt</x:v>
      </x:c>
      <x:c r="B5" s="59" t="n">
        <x:f>COUNTA('personel'!$A$2:$A$53)</x:f>
        <x:v>52</x:v>
      </x:c>
    </x:row>
    <x:row r="6" ht="25.5" customHeight="1">
      <x:c r="A6" s="32" t="str">
        <x:v>Çıkarılan/eşleşmeyen kayıt</x:v>
      </x:c>
      <x:c r="B6" s="59" t="n">
        <x:f>B4-B5</x:f>
        <x:v>414</x:v>
      </x:c>
    </x:row>
    <x:row r="7" ht="25.5" customHeight="1">
      <x:c r="A7" s="32" t="str">
        <x:v>Korunma oranı</x:v>
      </x:c>
      <x:c r="B7" s="60" t="n">
        <x:f>B5/B4</x:f>
        <x:v>0.11158798283261803</x:v>
      </x:c>
    </x:row>
    <x:row r="9" ht="22.5" customHeight="1">
      <x:c r="A9" s="61" t="str">
        <x:v>Uygulanan adres ve geocoding ölçütleri</x:v>
      </x:c>
      <x:c r="B9" s="61"/>
      <x:c r="C9" s="61"/>
      <x:c r="D9" s="61"/>
      <x:c r="E9" s="61"/>
    </x:row>
    <x:row r="10" ht="31.5" customHeight="1">
      <x:c r="A10" s="69" t="str">
        <x:v>• Boş, yer tutucu veya yalnızca genel bölge bilgisi içeren adresler çıkarıldı.</x:v>
      </x:c>
      <x:c r="B10" s="69"/>
      <x:c r="C10" s="69"/>
      <x:c r="D10" s="69"/>
      <x:c r="E10" s="69"/>
    </x:row>
    <x:row r="11" ht="31.5" customHeight="1">
      <x:c r="A11" s="70" t="str">
        <x:v>• Kalan adresler, uygulamanın kullandığı yerel Nominatim sorgu sırasıyla kontrol edildi.</x:v>
      </x:c>
      <x:c r="B11" s="70"/>
      <x:c r="C11" s="70"/>
      <x:c r="D11" s="70"/>
      <x:c r="E11" s="70"/>
    </x:row>
    <x:row r="12" ht="31.5" customHeight="1">
      <x:c r="A12" s="70" t="str">
        <x:v>• Yalnızca sonucu Ankara içinde bulunan personel kayıtları örnek dosyaya alındı.</x:v>
      </x:c>
      <x:c r="B12" s="70"/>
      <x:c r="C12" s="70"/>
      <x:c r="D12" s="70"/>
      <x:c r="E12" s="70"/>
    </x:row>
    <x:row r="13" ht="31.5" customHeight="1">
      <x:c r="A13" s="71" t="str">
        <x:v>• Ayarlar sayfasındaki Bilkent varış adresi de aynı yerel geocoder üzerinde doğrulandı.</x:v>
      </x:c>
      <x:c r="B13" s="71"/>
      <x:c r="C13" s="71"/>
      <x:c r="D13" s="71"/>
      <x:c r="E13" s="71"/>
    </x:row>
    <x:row r="15">
      <x:c r="A15" s="73" t="str">
        <x:v>Kaynak: Servis_Adres_Formlari_Yeni.xlsx · Geocoder eşleşen: 52 · Çıkarılan/eşleşmeyen: 414</x:v>
      </x:c>
      <x:c r="B15" s="73"/>
      <x:c r="C15" s="73"/>
      <x:c r="D15" s="73"/>
      <x:c r="E15" s="73"/>
    </x:row>
  </x:sheetData>
  <x:mergeCells>
    <x:mergeCell ref="A1:E1"/>
    <x:mergeCell ref="A2:E2"/>
    <x:mergeCell ref="A9:E9"/>
    <x:mergeCell ref="A10:E10"/>
    <x:mergeCell ref="A11:E11"/>
    <x:mergeCell ref="A12:E12"/>
    <x:mergeCell ref="A13:E13"/>
    <x:mergeCell ref="A15:E15"/>
  </x:mergeCells>
  <x:pageMargins left="0.7" right="0.7" top="0.75" bottom="0.75" header="0.3" footer="0.3"/>
</x:worksheet>
</file>